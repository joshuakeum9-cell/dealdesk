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s" sheetId="1" r:id="rId1"/>
    <sheet name="Synergy Model" sheetId="2" r:id="rId2"/>
    <sheet name="Historicals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#,##0.0;(#,##0.0)"/>
    <numFmt numFmtId="61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6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cols>
    <col min="1" max="1" width="58.83203125" customWidth="1"/>
    <col min="2" max="2" width="14.83203125" customWidth="1"/>
  </cols>
  <sheetData>
    <row r="1">
      <c r="A1" t="str">
        <v>Meridian Components Inc.: synergy model inputs ($M)</v>
      </c>
    </row>
    <row r="3">
      <c r="A3" t="str">
        <v>Client data (target), FY24A</v>
      </c>
    </row>
    <row r="4">
      <c r="A4" t="str">
        <v>Revenue</v>
      </c>
      <c r="B4" s="1">
        <v>183</v>
      </c>
    </row>
    <row r="5">
      <c r="A5" t="str">
        <v>Cost of goods sold</v>
      </c>
      <c r="B5" s="1">
        <v>114.9</v>
      </c>
    </row>
    <row r="6">
      <c r="A6" t="str">
        <v>Opex / G&amp;A (back office)</v>
      </c>
      <c r="B6" s="1">
        <v>33.8</v>
      </c>
    </row>
    <row r="8">
      <c r="A8" t="str">
        <v>Revenue synergy assumptions (INPUTS: change these, the model recalculates)</v>
      </c>
    </row>
    <row r="9">
      <c r="A9" t="str">
        <v>Revenue uplift, low end</v>
      </c>
      <c r="B9" s="2">
        <v>0.05</v>
      </c>
    </row>
    <row r="10">
      <c r="A10" t="str">
        <v>Revenue uplift, high end</v>
      </c>
      <c r="B10" s="2">
        <v>0.1</v>
      </c>
    </row>
    <row r="11">
      <c r="A11" t="str">
        <v>Flow through margin on new revenue</v>
      </c>
      <c r="B11" s="2">
        <v>0.187</v>
      </c>
    </row>
    <row r="13">
      <c r="A13" t="str">
        <v>Cost synergy assumptions, each applied to its own cost line only (INPUTS)</v>
      </c>
    </row>
    <row r="14">
      <c r="A14" t="str">
        <v>Cost of goods sold: synergy %, low end</v>
      </c>
      <c r="B14" s="2">
        <v>0.05</v>
      </c>
    </row>
    <row r="15">
      <c r="A15" t="str">
        <v>Cost of goods sold: synergy %, high end</v>
      </c>
      <c r="B15" s="2">
        <v>0.08</v>
      </c>
    </row>
    <row r="16">
      <c r="A16" t="str">
        <v>Opex / G&amp;A (back office): synergy %, low end</v>
      </c>
      <c r="B16" s="2">
        <v>0.1</v>
      </c>
    </row>
    <row r="17">
      <c r="A17" t="str">
        <v>Opex / G&amp;A (back office): synergy %, high end</v>
      </c>
      <c r="B17" s="2">
        <v>0.25</v>
      </c>
    </row>
    <row r="19">
      <c r="A19" t="str">
        <v>Conservative = low end of every range. Aggressive = high end. Midpoint = average.</v>
      </c>
    </row>
  </sheetData>
  <ignoredErrors>
    <ignoredError numberStoredAsText="1" sqref="A1:B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cols>
    <col min="1" max="1" width="42.83203125" customWidth="1"/>
    <col min="2" max="2" width="14.83203125" customWidth="1"/>
    <col min="3" max="3" width="14.83203125" customWidth="1"/>
    <col min="4" max="4" width="14.83203125" customWidth="1"/>
  </cols>
  <sheetData>
    <row r="1">
      <c r="A1" t="str">
        <v>Meridian Components Inc.: directional synergy model ($M, annual EBIT impact)</v>
      </c>
    </row>
    <row r="2">
      <c r="B2" t="str">
        <v>Conservative</v>
      </c>
      <c r="C2" t="str">
        <v>Midpoint</v>
      </c>
      <c r="D2" t="str">
        <v>Aggressive</v>
      </c>
    </row>
    <row r="3">
      <c r="A3" t="str">
        <v>Revenue synergy (at flow through margin)</v>
      </c>
      <c r="B3" s="1">
        <f>Inputs!$B$4*Inputs!$B$9*Inputs!$B$11</f>
        <v>1.71105</v>
      </c>
      <c r="C3" s="1">
        <f>Inputs!$B$4*AVERAGE(Inputs!$B$9,Inputs!$B$10)*Inputs!$B$11</f>
        <v>2.5665750000000003</v>
      </c>
      <c r="D3" s="1">
        <f>Inputs!$B$4*Inputs!$B$10*Inputs!$B$11</f>
        <v>3.4221</v>
      </c>
    </row>
    <row r="4">
      <c r="A4" t="str">
        <v>Cost of goods sold synergy</v>
      </c>
      <c r="B4" s="1">
        <f>Inputs!$B$5*Inputs!$B$14</f>
        <v>5.745000000000001</v>
      </c>
      <c r="C4" s="1">
        <f>Inputs!$B$5*AVERAGE(Inputs!$B$14,Inputs!$B$15)</f>
        <v>7.468500000000001</v>
      </c>
      <c r="D4" s="1">
        <f>Inputs!$B$5*Inputs!$B$15</f>
        <v>9.192</v>
      </c>
    </row>
    <row r="5">
      <c r="A5" t="str">
        <v>Opex / G&amp;A (back office) synergy</v>
      </c>
      <c r="B5" s="1">
        <f>Inputs!$B$6*Inputs!$B$16</f>
        <v>3.38</v>
      </c>
      <c r="C5" s="1">
        <f>Inputs!$B$6*AVERAGE(Inputs!$B$16,Inputs!$B$17)</f>
        <v>5.914999999999999</v>
      </c>
      <c r="D5" s="1">
        <f>Inputs!$B$6*Inputs!$B$17</f>
        <v>8.45</v>
      </c>
    </row>
    <row r="6">
      <c r="A6" t="str">
        <v>Total synergy value</v>
      </c>
      <c r="B6" s="1">
        <f>SUM(B3:B5)</f>
        <v>10.83605</v>
      </c>
      <c r="C6" s="1">
        <f>SUM(C3:C5)</f>
        <v>15.950075</v>
      </c>
      <c r="D6" s="1">
        <f>SUM(D3:D5)</f>
        <v>21.0641</v>
      </c>
    </row>
    <row r="7">
      <c r="A7" t="str">
        <v>Total as % of target revenue</v>
      </c>
      <c r="B7" s="2">
        <f>B6/Inputs!$B$4</f>
        <v>0.05921338797814208</v>
      </c>
      <c r="C7" s="2">
        <f>C6/Inputs!$B$4</f>
        <v>0.08715887978142077</v>
      </c>
      <c r="D7" s="2">
        <f>D6/Inputs!$B$4</f>
        <v>0.11510437158469945</v>
      </c>
    </row>
    <row r="9">
      <c r="A9" t="str">
        <v>All cells on this sheet are formulas driven by the Inputs sheet.</v>
      </c>
    </row>
  </sheetData>
  <ignoredErrors>
    <ignoredError numberStoredAsText="1" sqref="A1:D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cols>
    <col min="1" max="1" width="24.83203125" customWidth="1"/>
    <col min="2" max="2" width="11.83203125" customWidth="1"/>
    <col min="3" max="3" width="11.83203125" customWidth="1"/>
    <col min="4" max="4" width="11.83203125" customWidth="1"/>
    <col min="5" max="5" width="11.83203125" customWidth="1"/>
  </cols>
  <sheetData>
    <row r="1">
      <c r="A1" t="str">
        <v>Historical financials ($M)</v>
      </c>
      <c r="B1" t="str">
        <v>FY21A</v>
      </c>
      <c r="C1" t="str">
        <v>FY22A</v>
      </c>
      <c r="D1" t="str">
        <v>FY23A</v>
      </c>
      <c r="E1" t="str">
        <v>FY24A</v>
      </c>
    </row>
    <row r="2">
      <c r="A2" t="str">
        <v>Revenue</v>
      </c>
      <c r="B2" s="1">
        <v>142</v>
      </c>
      <c r="C2" s="1">
        <v>154</v>
      </c>
      <c r="D2" s="1">
        <v>168</v>
      </c>
      <c r="E2" s="1">
        <v>183</v>
      </c>
    </row>
    <row r="3">
      <c r="A3" t="str">
        <v>COGS</v>
      </c>
      <c r="B3" s="1">
        <v>92.3</v>
      </c>
      <c r="C3" s="1">
        <v>99.1</v>
      </c>
      <c r="D3" s="1">
        <v>107</v>
      </c>
      <c r="E3" s="1">
        <v>114.9</v>
      </c>
    </row>
    <row r="4">
      <c r="A4" t="str">
        <v>Opex</v>
      </c>
      <c r="B4" s="1">
        <v>28.4</v>
      </c>
      <c r="C4" s="1">
        <v>30.1</v>
      </c>
      <c r="D4" s="1">
        <v>32</v>
      </c>
      <c r="E4" s="1">
        <v>33.8</v>
      </c>
    </row>
    <row r="5">
      <c r="A5" t="str">
        <v>EBITDA</v>
      </c>
      <c r="B5" s="1">
        <v>21.300000000000004</v>
      </c>
      <c r="C5" s="1">
        <v>24.800000000000004</v>
      </c>
      <c r="D5" s="1">
        <v>29</v>
      </c>
      <c r="E5" s="1">
        <v>34.3</v>
      </c>
    </row>
    <row r="6">
      <c r="A6" t="str">
        <v>Revenue growth (%)</v>
      </c>
      <c r="C6" s="2">
        <f>(C2-B2)/B2</f>
        <v>0.08450704225352124</v>
      </c>
      <c r="D6" s="2">
        <f>(D2-C2)/C2</f>
        <v>0.09090909090909083</v>
      </c>
      <c r="E6" s="2">
        <f>(E2-D2)/D2</f>
        <v>0.08928571428571419</v>
      </c>
    </row>
    <row r="7">
      <c r="A7" t="str">
        <v>EBITDA margin (%)</v>
      </c>
      <c r="B7" s="2">
        <f>B5/B2</f>
        <v>0.15000000000000002</v>
      </c>
      <c r="C7" s="2">
        <f>C5/C2</f>
        <v>0.16103896103896106</v>
      </c>
      <c r="D7" s="2">
        <f>D5/D2</f>
        <v>0.17261904761904762</v>
      </c>
      <c r="E7" s="2">
        <f>E5/E2</f>
        <v>0.18743169398907103</v>
      </c>
    </row>
  </sheetData>
  <ignoredErrors>
    <ignoredError numberStoredAsText="1" sqref="A1:E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Synergy Model</vt:lpstr>
      <vt:lpstr>Historicals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